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blasi\Downloads\"/>
    </mc:Choice>
  </mc:AlternateContent>
  <xr:revisionPtr revIDLastSave="0" documentId="13_ncr:1_{03C029CF-D596-4CC0-A936-1E54C77E0286}" xr6:coauthVersionLast="47" xr6:coauthVersionMax="47" xr10:uidLastSave="{00000000-0000-0000-0000-000000000000}"/>
  <bookViews>
    <workbookView xWindow="-108" yWindow="-108" windowWidth="23256" windowHeight="12456" xr2:uid="{00000000-000D-0000-FFFF-FFFF00000000}"/>
  </bookViews>
  <sheets>
    <sheet name="Istruzioni" sheetId="1" r:id="rId1"/>
    <sheet name="Sessione_2_PO" sheetId="2" r:id="rId2"/>
    <sheet name="Liste" sheetId="3" r:id="rId3"/>
  </sheets>
  <calcPr calcId="191029"/>
</workbook>
</file>

<file path=xl/calcChain.xml><?xml version="1.0" encoding="utf-8"?>
<calcChain xmlns="http://schemas.openxmlformats.org/spreadsheetml/2006/main">
  <c r="O31" i="2" l="1"/>
  <c r="O30" i="2"/>
  <c r="O29" i="2"/>
  <c r="O28" i="2"/>
  <c r="O27" i="2"/>
  <c r="O32" i="2" s="1"/>
  <c r="O26" i="2"/>
  <c r="O25" i="2"/>
</calcChain>
</file>

<file path=xl/sharedStrings.xml><?xml version="1.0" encoding="utf-8"?>
<sst xmlns="http://schemas.openxmlformats.org/spreadsheetml/2006/main" count="225" uniqueCount="166">
  <si>
    <t>Griglia test Product Owner — Sessione 2</t>
  </si>
  <si>
    <t>Obiettivo</t>
  </si>
  <si>
    <t>Validare il blocco librerie produttive ormai consolidato: articolo → DIBA → distinta ciclo → modello produttivo, con area iniziale di pre-industrializzazione.</t>
  </si>
  <si>
    <t>Quando usarla</t>
  </si>
  <si>
    <t>Usala ora come checkpoint PO dopo la chiusura di MD-10 e MD-11.</t>
  </si>
  <si>
    <t>Ambiente</t>
  </si>
  <si>
    <t>https://esyy-flow-dev.netlify.app</t>
  </si>
  <si>
    <t>Utente test</t>
  </si>
  <si>
    <t>user1@test.it</t>
  </si>
  <si>
    <t>Password</t>
  </si>
  <si>
    <t>User1Test!</t>
  </si>
  <si>
    <t>Tenant suggerito</t>
  </si>
  <si>
    <t>Tenant Test A (o quello che stai usando abitualmente per i test)</t>
  </si>
  <si>
    <t>Come compilare</t>
  </si>
  <si>
    <t>Per ogni riga imposta Esito, Chiarezza, Priorità e una nota sintetica. Usa la colonna Decisione per indicare se il punto è accettato, da migliorare o da approfondire.</t>
  </si>
  <si>
    <t>Cosa non valutare ora</t>
  </si>
  <si>
    <t>Non concentrarti su perfezione grafica finale, performance spinte o casistiche edge avanzate. Il focus è direzione di prodotto, chiarezza funzionale, navigazione e coerenza tra oggetti.</t>
  </si>
  <si>
    <t>Esito sessione</t>
  </si>
  <si>
    <t>Se la maggior parte dei punti è OK e non emergono confusione grave o errori concettuali, la direzione è confermata e possiamo passare ai blocchi successivi.</t>
  </si>
  <si>
    <t>ID</t>
  </si>
  <si>
    <t>Area</t>
  </si>
  <si>
    <t>Pagina/Flusso</t>
  </si>
  <si>
    <t>Cosa verificare</t>
  </si>
  <si>
    <t>Azione da fare</t>
  </si>
  <si>
    <t>Esito atteso</t>
  </si>
  <si>
    <t>Esito</t>
  </si>
  <si>
    <t>Chiarezza</t>
  </si>
  <si>
    <t>Manca qualcosa?</t>
  </si>
  <si>
    <t>Nota libera</t>
  </si>
  <si>
    <t>Priorità</t>
  </si>
  <si>
    <t>Decisione</t>
  </si>
  <si>
    <t>S2-T1</t>
  </si>
  <si>
    <t>Accesso e contesto</t>
  </si>
  <si>
    <t>Login + Select Tenant</t>
  </si>
  <si>
    <t>Flusso di accesso ancora naturale</t>
  </si>
  <si>
    <t>Accedi con user1@test.it e seleziona il tenant</t>
  </si>
  <si>
    <t>Arrivi nel contesto corretto senza dubbi sul tenant scelto</t>
  </si>
  <si>
    <t>S2-T2</t>
  </si>
  <si>
    <t>Shell e orientamento</t>
  </si>
  <si>
    <t>Dashboard + sidebar</t>
  </si>
  <si>
    <t>Il menu riflette la struttura mentale del prodotto</t>
  </si>
  <si>
    <t>Osserva sidebar e naviga tra Anagrafiche e Pre-industrializzazione</t>
  </si>
  <si>
    <t>Le aree risultano coerenti, riconoscibili e non dispersive</t>
  </si>
  <si>
    <t>S2-T3</t>
  </si>
  <si>
    <t>Articoli prodotto</t>
  </si>
  <si>
    <t>Anagrafiche &gt; Articoli prodotto</t>
  </si>
  <si>
    <t>L'articolo produttivo comunica bene copertura e stato</t>
  </si>
  <si>
    <t>Apri l'elenco articoli e un record</t>
  </si>
  <si>
    <t>Capisci rapidamente stato produttivo e collegamenti verso DIBA/ciclo/modello</t>
  </si>
  <si>
    <t>S2-T4</t>
  </si>
  <si>
    <t>Dettaglio / collegamenti</t>
  </si>
  <si>
    <t>I collegamenti rapidi ti sembrano logici</t>
  </si>
  <si>
    <t>Dal dettaglio articolo apri modello produttivo</t>
  </si>
  <si>
    <t>Il passaggio dall'articolo al modello è naturale e comprensibile</t>
  </si>
  <si>
    <t>S2-T5</t>
  </si>
  <si>
    <t>DIBA</t>
  </si>
  <si>
    <t>Elenco DIBA</t>
  </si>
  <si>
    <t>La DIBA è percepita come libreria separata dal ciclo</t>
  </si>
  <si>
    <t>Apri elenco DIBA e osserva stato/versione</t>
  </si>
  <si>
    <t>La pagina comunica chiaramente concetto di libreria/versioning</t>
  </si>
  <si>
    <t>S2-T6</t>
  </si>
  <si>
    <t>Dettaglio DIBA</t>
  </si>
  <si>
    <t>La struttura materiali è comprensibile</t>
  </si>
  <si>
    <t>Apri una DIBA</t>
  </si>
  <si>
    <t>Testata, materiali, quantità, UM, alternative e note sono leggibili e utili</t>
  </si>
  <si>
    <t>S2-T7</t>
  </si>
  <si>
    <t>Dettaglio riga materiale</t>
  </si>
  <si>
    <t>Le regole di consumo/prelievo hanno senso lato utente</t>
  </si>
  <si>
    <t>Apri il dettaglio riga o drawer</t>
  </si>
  <si>
    <t>Base di calcolo, conversioni, arrotondamenti e multipli sono comprensibili</t>
  </si>
  <si>
    <t>S2-T8</t>
  </si>
  <si>
    <t>Distinta ciclo</t>
  </si>
  <si>
    <t>Elenco distinte ciclo</t>
  </si>
  <si>
    <t>La libreria dei processi è distinta dalla DIBA</t>
  </si>
  <si>
    <t>Apri elenco distinte ciclo</t>
  </si>
  <si>
    <t>Stato/versione, numero fasi, tipo processo e qualità sono chiari</t>
  </si>
  <si>
    <t>S2-T9</t>
  </si>
  <si>
    <t>Dettaglio distinta ciclo</t>
  </si>
  <si>
    <t>La struttura del ciclo è comprensibile</t>
  </si>
  <si>
    <t>Apri un ciclo</t>
  </si>
  <si>
    <t>Griglia fasi, setup, tempi e qualità ti fanno capire il processo</t>
  </si>
  <si>
    <t>S2-T10</t>
  </si>
  <si>
    <t>Dettaglio fase</t>
  </si>
  <si>
    <t>Il dettaglio della fase è utile e non troppo tecnico</t>
  </si>
  <si>
    <t>Apri drawer/dettaglio fase</t>
  </si>
  <si>
    <t>Modalità tempo, capacità e regole operative sono leggibili</t>
  </si>
  <si>
    <t>S2-T11</t>
  </si>
  <si>
    <t>Modello produttivo</t>
  </si>
  <si>
    <t>Dettaglio modello</t>
  </si>
  <si>
    <t>Il modello produttivo chiarisce il collegamento articolo-DIBA-cicli</t>
  </si>
  <si>
    <t>Apri un modello produttivo</t>
  </si>
  <si>
    <t>Capisci bene DIBA di default, cicli compatibili e stato del modello</t>
  </si>
  <si>
    <t>S2-T12</t>
  </si>
  <si>
    <t>Le regole di scelta ciclo sono comprensibili</t>
  </si>
  <si>
    <t>Osserva il blocco regole di scelta del ciclo</t>
  </si>
  <si>
    <t>Capisci quando e come il ciclo viene scelto o proposto</t>
  </si>
  <si>
    <t>S2-T13</t>
  </si>
  <si>
    <t>Vista processo</t>
  </si>
  <si>
    <t>Il placeholder della vista processo è sufficiente come step intermedio</t>
  </si>
  <si>
    <t>Osserva la sezione Vista processo</t>
  </si>
  <si>
    <t>Anche senza builder completo capisci cosa conterrà e perché serve</t>
  </si>
  <si>
    <t>S2-T14</t>
  </si>
  <si>
    <t>Catena librerie</t>
  </si>
  <si>
    <t>Flusso end-to-end</t>
  </si>
  <si>
    <t>La catena articolo → DIBA → ciclo → modello è coerente</t>
  </si>
  <si>
    <t>Naviga tra i quattro oggetti usando i quick link</t>
  </si>
  <si>
    <t>Le relazioni tra oggetti sono comprensibili e non ambigue</t>
  </si>
  <si>
    <t>S2-T15</t>
  </si>
  <si>
    <t>Terminologia</t>
  </si>
  <si>
    <t>Cross-page</t>
  </si>
  <si>
    <t>La terminologia è coerente</t>
  </si>
  <si>
    <t>Confronta etichette e nomi tra pagine</t>
  </si>
  <si>
    <t>Articolo, DIBA, ciclo, modello e pre-industrializzazione non si sovrappongono in modo confuso</t>
  </si>
  <si>
    <t>S2-T16</t>
  </si>
  <si>
    <t>Pre-industrializzazione</t>
  </si>
  <si>
    <t>Landing overview</t>
  </si>
  <si>
    <t>L'area appare davvero separata dall'anagrafica operativa</t>
  </si>
  <si>
    <t>Apri /pre-industrializzazione</t>
  </si>
  <si>
    <t>Capisci che è un modulo provvisorio/preparatorio e non la libreria operativa</t>
  </si>
  <si>
    <t>S2-T17</t>
  </si>
  <si>
    <t>I blocchi della landing coprono il bisogno giusto</t>
  </si>
  <si>
    <t>Osserva tutti i blocchi overview</t>
  </si>
  <si>
    <t>Progetti provvisori, DIBA/cicli/modelli provvisori, scenari, attività/costi e promozione hanno senso</t>
  </si>
  <si>
    <t>S2-T18</t>
  </si>
  <si>
    <t>Empty states</t>
  </si>
  <si>
    <t>Gli empty state sono utili e non vuoti</t>
  </si>
  <si>
    <t>Valuta i placeholder in assenza dati</t>
  </si>
  <si>
    <t>Gli empty state spiegano bene il ruolo del modulo e cosa succederà dopo</t>
  </si>
  <si>
    <t>S2-T19</t>
  </si>
  <si>
    <t>Direzione di prodotto</t>
  </si>
  <si>
    <t>Blocco complessivo</t>
  </si>
  <si>
    <t>La strada intrapresa ti sembra quella giusta</t>
  </si>
  <si>
    <t>Ragiona sull'insieme del blocco già sviluppato</t>
  </si>
  <si>
    <t>Il blocco librerie produttive appare coerente con il prodotto che hai in mente</t>
  </si>
  <si>
    <t>S2-T20</t>
  </si>
  <si>
    <t>Priorità successive</t>
  </si>
  <si>
    <t>Capisci quale dovrebbe essere il passo successivo</t>
  </si>
  <si>
    <t>Dopo il test, valuta se ha senso passare a ODP/commesse o raffinare ancora le librerie</t>
  </si>
  <si>
    <t>Emergono indicazioni chiare su cosa fare dopo</t>
  </si>
  <si>
    <t>Riepilogo sessione</t>
  </si>
  <si>
    <t>Totale test</t>
  </si>
  <si>
    <t>OK</t>
  </si>
  <si>
    <t>KO</t>
  </si>
  <si>
    <t>Parziale</t>
  </si>
  <si>
    <t>N/A</t>
  </si>
  <si>
    <t>Chiari</t>
  </si>
  <si>
    <t>Confusi</t>
  </si>
  <si>
    <t>Go / No-Go</t>
  </si>
  <si>
    <t>Sintesi finale</t>
  </si>
  <si>
    <t>Compila qui il giudizio finale sintetico del PO.</t>
  </si>
  <si>
    <t>Priorita</t>
  </si>
  <si>
    <t>Chiaro</t>
  </si>
  <si>
    <t>Alta</t>
  </si>
  <si>
    <t>Accettato</t>
  </si>
  <si>
    <t>Abbastanza chiaro</t>
  </si>
  <si>
    <t>Media</t>
  </si>
  <si>
    <t>Da migliorare</t>
  </si>
  <si>
    <t>Confuso</t>
  </si>
  <si>
    <t>Bassa</t>
  </si>
  <si>
    <t>Da approfondire</t>
  </si>
  <si>
    <t>Il menu non è organizzato per sottolivelli. E' tutto plain al momento e questo crea confusione</t>
  </si>
  <si>
    <t>I tag DIBA e Ciclo risultano a N/D nonostante aprendo il modello risultino esserci sia la Diba che il Ciclo</t>
  </si>
  <si>
    <t>Nel test sono presenti solo N/D sui dettagli riga quindi si fa fatica a testare</t>
  </si>
  <si>
    <t>Forse farei in modo che le varie schede di dettaglio siano organizzate in modo intelligente</t>
  </si>
  <si>
    <t>Non vedo un menu specifico per i modelli.</t>
  </si>
  <si>
    <t>Non capisco come selezionare quale cisclo voglio utilizzare. Poi (ma forse sarà una situazione successiva) dovrò anche avere una maschera dove unire ciclo con diba (quale articolo viene consumato in quale fase)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</si>
</sst>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rlito"/>
    </font>
    <font>
      <b/>
      <sz val="14"/>
      <color rgb="FFFFFFFF"/>
      <name val="Carlito"/>
    </font>
    <font>
      <b/>
      <sz val="11"/>
      <name val="Carlito"/>
    </font>
    <font>
      <sz val="11"/>
      <name val="Carlito"/>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D9EAF7"/>
      </patternFill>
    </fill>
  </fills>
  <borders count="1">
    <border>
      <left/>
      <right/>
      <top/>
      <bottom/>
      <diagonal/>
    </border>
  </borders>
  <cellStyleXfs count="2">
    <xf numFmtId="0" fontId="0" fillId="0" borderId="0"/>
    <xf numFmtId="0" fontId="3" fillId="0" borderId="0"/>
  </cellStyleXfs>
  <cellXfs count="8">
    <xf numFmtId="0" fontId="0" fillId="0" borderId="0" xfId="0"/>
    <xf numFmtId="0" fontId="2" fillId="3" borderId="0" xfId="1" applyFont="1" applyFill="1" applyAlignment="1">
      <alignment wrapText="1"/>
    </xf>
    <xf numFmtId="0" fontId="0" fillId="0" borderId="0" xfId="1" applyFont="1" applyAlignment="1">
      <alignment wrapText="1"/>
    </xf>
    <xf numFmtId="0" fontId="2" fillId="4" borderId="0" xfId="1" applyFont="1" applyFill="1" applyAlignment="1">
      <alignment vertical="center" wrapText="1"/>
    </xf>
    <xf numFmtId="0" fontId="1" fillId="2" borderId="0" xfId="1" applyFont="1" applyFill="1" applyAlignment="1">
      <alignment vertical="center"/>
    </xf>
    <xf numFmtId="0" fontId="0" fillId="0" borderId="0" xfId="0"/>
    <xf numFmtId="0" fontId="1" fillId="2" borderId="0" xfId="1" applyFont="1" applyFill="1" applyAlignment="1">
      <alignment vertical="center" wrapText="1"/>
    </xf>
    <xf numFmtId="0" fontId="0" fillId="0" borderId="0" xfId="1" applyFont="1" applyAlignment="1">
      <alignment wrapText="1"/>
    </xf>
  </cellXfs>
  <cellStyles count="2">
    <cellStyle name="Normal" xfId="1" xr:uid="{00000000-0005-0000-0000-000000000000}"/>
    <cellStyle name="Normale" xfId="0" builtinId="0"/>
  </cellStyles>
  <dxfs count="4">
    <dxf>
      <fill>
        <patternFill patternType="solid">
          <bgColor rgb="FFFDE68A"/>
        </patternFill>
      </fill>
    </dxf>
    <dxf>
      <fill>
        <patternFill patternType="solid">
          <bgColor rgb="FFFEF3C7"/>
        </patternFill>
      </fill>
    </dxf>
    <dxf>
      <fill>
        <patternFill patternType="solid">
          <bgColor rgb="FFFECACA"/>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ssione2POTable" displayName="Sessione2POTable" ref="A1:L21">
  <tableColumns count="12">
    <tableColumn id="1" xr3:uid="{00000000-0010-0000-0000-000001000000}" name="ID"/>
    <tableColumn id="2" xr3:uid="{00000000-0010-0000-0000-000002000000}" name="Area"/>
    <tableColumn id="3" xr3:uid="{00000000-0010-0000-0000-000003000000}" name="Pagina/Flusso"/>
    <tableColumn id="4" xr3:uid="{00000000-0010-0000-0000-000004000000}" name="Cosa verificare"/>
    <tableColumn id="5" xr3:uid="{00000000-0010-0000-0000-000005000000}" name="Azione da fare"/>
    <tableColumn id="6" xr3:uid="{00000000-0010-0000-0000-000006000000}" name="Esito atteso"/>
    <tableColumn id="7" xr3:uid="{00000000-0010-0000-0000-000007000000}" name="Esito"/>
    <tableColumn id="8" xr3:uid="{00000000-0010-0000-0000-000008000000}" name="Chiarezza"/>
    <tableColumn id="9" xr3:uid="{00000000-0010-0000-0000-000009000000}" name="Manca qualcosa?"/>
    <tableColumn id="10" xr3:uid="{00000000-0010-0000-0000-00000A000000}" name="Nota libera"/>
    <tableColumn id="11" xr3:uid="{00000000-0010-0000-0000-00000B000000}" name="Priorità"/>
    <tableColumn id="12" xr3:uid="{00000000-0010-0000-0000-00000C000000}" name="Decision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sqref="A1:B1"/>
    </sheetView>
  </sheetViews>
  <sheetFormatPr defaultRowHeight="14.4" x14ac:dyDescent="0.3"/>
  <cols>
    <col min="1" max="1" width="20" customWidth="1"/>
    <col min="2" max="2" width="70" customWidth="1"/>
  </cols>
  <sheetData>
    <row r="1" spans="1:2" ht="19.2" customHeight="1" x14ac:dyDescent="0.3">
      <c r="A1" s="4" t="s">
        <v>0</v>
      </c>
      <c r="B1" s="5"/>
    </row>
    <row r="2" spans="1:2" ht="27.15" customHeight="1" x14ac:dyDescent="0.3">
      <c r="A2" s="1" t="s">
        <v>1</v>
      </c>
      <c r="B2" s="2" t="s">
        <v>2</v>
      </c>
    </row>
    <row r="3" spans="1:2" ht="27.15" customHeight="1" x14ac:dyDescent="0.3">
      <c r="A3" s="1" t="s">
        <v>3</v>
      </c>
      <c r="B3" s="2" t="s">
        <v>4</v>
      </c>
    </row>
    <row r="4" spans="1:2" ht="27.15" customHeight="1" x14ac:dyDescent="0.3">
      <c r="A4" s="1" t="s">
        <v>5</v>
      </c>
      <c r="B4" s="2" t="s">
        <v>6</v>
      </c>
    </row>
    <row r="5" spans="1:2" ht="27.15" customHeight="1" x14ac:dyDescent="0.3">
      <c r="A5" s="1" t="s">
        <v>7</v>
      </c>
      <c r="B5" s="2" t="s">
        <v>8</v>
      </c>
    </row>
    <row r="6" spans="1:2" ht="27.15" customHeight="1" x14ac:dyDescent="0.3">
      <c r="A6" s="1" t="s">
        <v>9</v>
      </c>
      <c r="B6" s="2" t="s">
        <v>10</v>
      </c>
    </row>
    <row r="7" spans="1:2" ht="27.15" customHeight="1" x14ac:dyDescent="0.3">
      <c r="A7" s="1" t="s">
        <v>11</v>
      </c>
      <c r="B7" s="2" t="s">
        <v>12</v>
      </c>
    </row>
    <row r="8" spans="1:2" ht="27.15" customHeight="1" x14ac:dyDescent="0.3">
      <c r="A8" s="1" t="s">
        <v>13</v>
      </c>
      <c r="B8" s="2" t="s">
        <v>14</v>
      </c>
    </row>
    <row r="9" spans="1:2" ht="27.15" customHeight="1" x14ac:dyDescent="0.3">
      <c r="A9" s="1" t="s">
        <v>15</v>
      </c>
      <c r="B9" s="2" t="s">
        <v>16</v>
      </c>
    </row>
    <row r="10" spans="1:2" ht="27.15" customHeight="1" x14ac:dyDescent="0.3">
      <c r="A10" s="1" t="s">
        <v>17</v>
      </c>
      <c r="B10" s="2" t="s">
        <v>18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3"/>
  <sheetViews>
    <sheetView topLeftCell="A16" workbookViewId="0">
      <selection activeCell="H21" sqref="H21"/>
    </sheetView>
  </sheetViews>
  <sheetFormatPr defaultRowHeight="14.4" x14ac:dyDescent="0.3"/>
  <cols>
    <col min="1" max="1" width="14" customWidth="1"/>
    <col min="2" max="2" width="18" customWidth="1"/>
    <col min="3" max="3" width="22" customWidth="1"/>
    <col min="4" max="4" width="28" customWidth="1"/>
    <col min="5" max="5" width="26" customWidth="1"/>
    <col min="6" max="6" width="28" customWidth="1"/>
    <col min="7" max="7" width="12" customWidth="1"/>
    <col min="8" max="8" width="16" customWidth="1"/>
    <col min="9" max="9" width="18" customWidth="1"/>
    <col min="10" max="10" width="26" customWidth="1"/>
    <col min="11" max="11" width="10" customWidth="1"/>
    <col min="12" max="12" width="16" customWidth="1"/>
    <col min="14" max="15" width="18" customWidth="1"/>
  </cols>
  <sheetData>
    <row r="1" spans="1:12" x14ac:dyDescent="0.3">
      <c r="A1" s="3" t="s">
        <v>19</v>
      </c>
      <c r="B1" s="3" t="s">
        <v>20</v>
      </c>
      <c r="C1" s="3" t="s">
        <v>21</v>
      </c>
      <c r="D1" s="3" t="s">
        <v>22</v>
      </c>
      <c r="E1" s="3" t="s">
        <v>23</v>
      </c>
      <c r="F1" s="3" t="s">
        <v>24</v>
      </c>
      <c r="G1" s="3" t="s">
        <v>25</v>
      </c>
      <c r="H1" s="3" t="s">
        <v>26</v>
      </c>
      <c r="I1" s="3" t="s">
        <v>27</v>
      </c>
      <c r="J1" s="3" t="s">
        <v>28</v>
      </c>
      <c r="K1" s="3" t="s">
        <v>29</v>
      </c>
      <c r="L1" s="3" t="s">
        <v>30</v>
      </c>
    </row>
    <row r="2" spans="1:12" ht="28.8" x14ac:dyDescent="0.3">
      <c r="A2" s="2" t="s">
        <v>31</v>
      </c>
      <c r="B2" s="2" t="s">
        <v>32</v>
      </c>
      <c r="C2" s="2" t="s">
        <v>33</v>
      </c>
      <c r="D2" s="2" t="s">
        <v>34</v>
      </c>
      <c r="E2" s="2" t="s">
        <v>35</v>
      </c>
      <c r="F2" s="2" t="s">
        <v>36</v>
      </c>
      <c r="G2" s="2" t="s">
        <v>141</v>
      </c>
      <c r="H2" s="2" t="s">
        <v>151</v>
      </c>
      <c r="I2" s="2"/>
      <c r="J2" s="2"/>
      <c r="K2" s="2"/>
      <c r="L2" s="2"/>
    </row>
    <row r="3" spans="1:12" ht="86.4" x14ac:dyDescent="0.3">
      <c r="A3" s="2" t="s">
        <v>37</v>
      </c>
      <c r="B3" s="2" t="s">
        <v>38</v>
      </c>
      <c r="C3" s="2" t="s">
        <v>39</v>
      </c>
      <c r="D3" s="2" t="s">
        <v>40</v>
      </c>
      <c r="E3" s="2" t="s">
        <v>41</v>
      </c>
      <c r="F3" s="2" t="s">
        <v>42</v>
      </c>
      <c r="G3" s="2" t="s">
        <v>143</v>
      </c>
      <c r="H3" s="2" t="s">
        <v>157</v>
      </c>
      <c r="I3" s="2" t="s">
        <v>160</v>
      </c>
      <c r="J3" s="2"/>
      <c r="K3" s="2"/>
      <c r="L3" s="2"/>
    </row>
    <row r="4" spans="1:12" ht="86.4" x14ac:dyDescent="0.3">
      <c r="A4" s="2" t="s">
        <v>43</v>
      </c>
      <c r="B4" s="2" t="s">
        <v>44</v>
      </c>
      <c r="C4" s="2" t="s">
        <v>45</v>
      </c>
      <c r="D4" s="2" t="s">
        <v>46</v>
      </c>
      <c r="E4" s="2" t="s">
        <v>47</v>
      </c>
      <c r="F4" s="2" t="s">
        <v>48</v>
      </c>
      <c r="G4" s="2" t="s">
        <v>143</v>
      </c>
      <c r="H4" s="2" t="s">
        <v>157</v>
      </c>
      <c r="I4" s="2" t="s">
        <v>161</v>
      </c>
      <c r="J4" s="2"/>
      <c r="K4" s="2"/>
      <c r="L4" s="2"/>
    </row>
    <row r="5" spans="1:12" ht="43.2" x14ac:dyDescent="0.3">
      <c r="A5" s="2" t="s">
        <v>49</v>
      </c>
      <c r="B5" s="2" t="s">
        <v>44</v>
      </c>
      <c r="C5" s="2" t="s">
        <v>50</v>
      </c>
      <c r="D5" s="2" t="s">
        <v>51</v>
      </c>
      <c r="E5" s="2" t="s">
        <v>52</v>
      </c>
      <c r="F5" s="2" t="s">
        <v>53</v>
      </c>
      <c r="G5" s="2" t="s">
        <v>141</v>
      </c>
      <c r="H5" s="2" t="s">
        <v>151</v>
      </c>
      <c r="I5" s="2"/>
      <c r="J5" s="2"/>
      <c r="K5" s="2"/>
      <c r="L5" s="2"/>
    </row>
    <row r="6" spans="1:12" ht="43.2" x14ac:dyDescent="0.3">
      <c r="A6" s="2" t="s">
        <v>54</v>
      </c>
      <c r="B6" s="2" t="s">
        <v>55</v>
      </c>
      <c r="C6" s="2" t="s">
        <v>56</v>
      </c>
      <c r="D6" s="2" t="s">
        <v>57</v>
      </c>
      <c r="E6" s="2" t="s">
        <v>58</v>
      </c>
      <c r="F6" s="2" t="s">
        <v>59</v>
      </c>
      <c r="G6" s="2" t="s">
        <v>141</v>
      </c>
      <c r="H6" s="2" t="s">
        <v>151</v>
      </c>
      <c r="I6" s="2"/>
      <c r="J6" s="2"/>
      <c r="K6" s="2"/>
      <c r="L6" s="2"/>
    </row>
    <row r="7" spans="1:12" ht="43.2" x14ac:dyDescent="0.3">
      <c r="A7" s="2" t="s">
        <v>60</v>
      </c>
      <c r="B7" s="2" t="s">
        <v>55</v>
      </c>
      <c r="C7" s="2" t="s">
        <v>61</v>
      </c>
      <c r="D7" s="2" t="s">
        <v>62</v>
      </c>
      <c r="E7" s="2" t="s">
        <v>63</v>
      </c>
      <c r="F7" s="2" t="s">
        <v>64</v>
      </c>
      <c r="G7" s="2" t="s">
        <v>141</v>
      </c>
      <c r="H7" s="2" t="s">
        <v>151</v>
      </c>
      <c r="I7" s="2"/>
      <c r="J7" s="2"/>
      <c r="K7" s="2"/>
      <c r="L7" s="2"/>
    </row>
    <row r="8" spans="1:12" ht="72" x14ac:dyDescent="0.3">
      <c r="A8" s="2" t="s">
        <v>65</v>
      </c>
      <c r="B8" s="2" t="s">
        <v>55</v>
      </c>
      <c r="C8" s="2" t="s">
        <v>66</v>
      </c>
      <c r="D8" s="2" t="s">
        <v>67</v>
      </c>
      <c r="E8" s="2" t="s">
        <v>68</v>
      </c>
      <c r="F8" s="2" t="s">
        <v>69</v>
      </c>
      <c r="G8" s="2" t="s">
        <v>143</v>
      </c>
      <c r="H8" s="2" t="s">
        <v>154</v>
      </c>
      <c r="I8" s="2" t="s">
        <v>162</v>
      </c>
      <c r="J8" s="2"/>
      <c r="K8" s="2"/>
      <c r="L8" s="2"/>
    </row>
    <row r="9" spans="1:12" ht="43.2" x14ac:dyDescent="0.3">
      <c r="A9" s="2" t="s">
        <v>70</v>
      </c>
      <c r="B9" s="2" t="s">
        <v>71</v>
      </c>
      <c r="C9" s="2" t="s">
        <v>72</v>
      </c>
      <c r="D9" s="2" t="s">
        <v>73</v>
      </c>
      <c r="E9" s="2" t="s">
        <v>74</v>
      </c>
      <c r="F9" s="2" t="s">
        <v>75</v>
      </c>
      <c r="G9" s="2" t="s">
        <v>141</v>
      </c>
      <c r="H9" s="2" t="s">
        <v>151</v>
      </c>
      <c r="I9" s="2"/>
      <c r="J9" s="2"/>
      <c r="K9" s="2"/>
      <c r="L9" s="2"/>
    </row>
    <row r="10" spans="1:12" ht="43.2" x14ac:dyDescent="0.3">
      <c r="A10" s="2" t="s">
        <v>76</v>
      </c>
      <c r="B10" s="2" t="s">
        <v>71</v>
      </c>
      <c r="C10" s="2" t="s">
        <v>77</v>
      </c>
      <c r="D10" s="2" t="s">
        <v>78</v>
      </c>
      <c r="E10" s="2" t="s">
        <v>79</v>
      </c>
      <c r="F10" s="2" t="s">
        <v>80</v>
      </c>
      <c r="G10" s="2" t="s">
        <v>141</v>
      </c>
      <c r="H10" s="2" t="s">
        <v>151</v>
      </c>
      <c r="I10" s="2"/>
      <c r="J10" s="2"/>
      <c r="K10" s="2"/>
      <c r="L10" s="2"/>
    </row>
    <row r="11" spans="1:12" ht="72" x14ac:dyDescent="0.3">
      <c r="A11" s="2" t="s">
        <v>81</v>
      </c>
      <c r="B11" s="2" t="s">
        <v>71</v>
      </c>
      <c r="C11" s="2" t="s">
        <v>82</v>
      </c>
      <c r="D11" s="2" t="s">
        <v>83</v>
      </c>
      <c r="E11" s="2" t="s">
        <v>84</v>
      </c>
      <c r="F11" s="2" t="s">
        <v>85</v>
      </c>
      <c r="G11" s="2" t="s">
        <v>143</v>
      </c>
      <c r="H11" s="2" t="s">
        <v>154</v>
      </c>
      <c r="I11" s="2" t="s">
        <v>163</v>
      </c>
      <c r="J11" s="2"/>
      <c r="K11" s="2"/>
      <c r="L11" s="2"/>
    </row>
    <row r="12" spans="1:12" ht="43.2" x14ac:dyDescent="0.3">
      <c r="A12" s="2" t="s">
        <v>86</v>
      </c>
      <c r="B12" s="2" t="s">
        <v>87</v>
      </c>
      <c r="C12" s="2" t="s">
        <v>88</v>
      </c>
      <c r="D12" s="2" t="s">
        <v>89</v>
      </c>
      <c r="E12" s="2" t="s">
        <v>90</v>
      </c>
      <c r="F12" s="2" t="s">
        <v>91</v>
      </c>
      <c r="G12" s="2" t="s">
        <v>143</v>
      </c>
      <c r="H12" s="2" t="s">
        <v>154</v>
      </c>
      <c r="I12" s="2" t="s">
        <v>164</v>
      </c>
      <c r="J12" s="2"/>
      <c r="K12" s="2"/>
      <c r="L12" s="2"/>
    </row>
    <row r="13" spans="1:12" ht="187.2" x14ac:dyDescent="0.3">
      <c r="A13" s="2" t="s">
        <v>92</v>
      </c>
      <c r="B13" s="2" t="s">
        <v>87</v>
      </c>
      <c r="C13" s="2" t="s">
        <v>88</v>
      </c>
      <c r="D13" s="2" t="s">
        <v>93</v>
      </c>
      <c r="E13" s="2" t="s">
        <v>94</v>
      </c>
      <c r="F13" s="2" t="s">
        <v>95</v>
      </c>
      <c r="G13" s="2" t="s">
        <v>143</v>
      </c>
      <c r="H13" s="2" t="s">
        <v>157</v>
      </c>
      <c r="I13" s="2" t="s">
        <v>165</v>
      </c>
      <c r="J13" s="2"/>
      <c r="K13" s="2"/>
      <c r="L13" s="2"/>
    </row>
    <row r="14" spans="1:12" ht="43.2" x14ac:dyDescent="0.3">
      <c r="A14" s="2" t="s">
        <v>96</v>
      </c>
      <c r="B14" s="2" t="s">
        <v>87</v>
      </c>
      <c r="C14" s="2" t="s">
        <v>97</v>
      </c>
      <c r="D14" s="2" t="s">
        <v>98</v>
      </c>
      <c r="E14" s="2" t="s">
        <v>99</v>
      </c>
      <c r="F14" s="2" t="s">
        <v>100</v>
      </c>
      <c r="G14" s="2" t="s">
        <v>141</v>
      </c>
      <c r="H14" s="2" t="s">
        <v>151</v>
      </c>
      <c r="I14" s="2"/>
      <c r="J14" s="2"/>
      <c r="K14" s="2"/>
      <c r="L14" s="2"/>
    </row>
    <row r="15" spans="1:12" ht="28.8" x14ac:dyDescent="0.3">
      <c r="A15" s="2" t="s">
        <v>101</v>
      </c>
      <c r="B15" s="2" t="s">
        <v>102</v>
      </c>
      <c r="C15" s="2" t="s">
        <v>103</v>
      </c>
      <c r="D15" s="2" t="s">
        <v>104</v>
      </c>
      <c r="E15" s="2" t="s">
        <v>105</v>
      </c>
      <c r="F15" s="2" t="s">
        <v>106</v>
      </c>
      <c r="G15" s="2" t="s">
        <v>141</v>
      </c>
      <c r="H15" s="2" t="s">
        <v>151</v>
      </c>
      <c r="I15" s="2"/>
      <c r="J15" s="2"/>
      <c r="K15" s="2"/>
      <c r="L15" s="2"/>
    </row>
    <row r="16" spans="1:12" ht="57.6" x14ac:dyDescent="0.3">
      <c r="A16" s="2" t="s">
        <v>107</v>
      </c>
      <c r="B16" s="2" t="s">
        <v>108</v>
      </c>
      <c r="C16" s="2" t="s">
        <v>109</v>
      </c>
      <c r="D16" s="2" t="s">
        <v>110</v>
      </c>
      <c r="E16" s="2" t="s">
        <v>111</v>
      </c>
      <c r="F16" s="2" t="s">
        <v>112</v>
      </c>
      <c r="G16" s="2" t="s">
        <v>141</v>
      </c>
      <c r="H16" s="2" t="s">
        <v>151</v>
      </c>
      <c r="I16" s="2"/>
      <c r="J16" s="2"/>
      <c r="K16" s="2"/>
      <c r="L16" s="2"/>
    </row>
    <row r="17" spans="1:15" ht="43.2" x14ac:dyDescent="0.3">
      <c r="A17" s="2" t="s">
        <v>113</v>
      </c>
      <c r="B17" s="2" t="s">
        <v>114</v>
      </c>
      <c r="C17" s="2" t="s">
        <v>115</v>
      </c>
      <c r="D17" s="2" t="s">
        <v>116</v>
      </c>
      <c r="E17" s="2" t="s">
        <v>117</v>
      </c>
      <c r="F17" s="2" t="s">
        <v>118</v>
      </c>
      <c r="G17" s="2" t="s">
        <v>141</v>
      </c>
      <c r="H17" s="2" t="s">
        <v>151</v>
      </c>
      <c r="I17" s="2"/>
      <c r="J17" s="2"/>
      <c r="K17" s="2"/>
      <c r="L17" s="2"/>
    </row>
    <row r="18" spans="1:15" ht="57.6" x14ac:dyDescent="0.3">
      <c r="A18" s="2" t="s">
        <v>119</v>
      </c>
      <c r="B18" s="2" t="s">
        <v>114</v>
      </c>
      <c r="C18" s="2" t="s">
        <v>115</v>
      </c>
      <c r="D18" s="2" t="s">
        <v>120</v>
      </c>
      <c r="E18" s="2" t="s">
        <v>121</v>
      </c>
      <c r="F18" s="2" t="s">
        <v>122</v>
      </c>
      <c r="G18" s="2" t="s">
        <v>141</v>
      </c>
      <c r="H18" s="2" t="s">
        <v>151</v>
      </c>
      <c r="I18" s="2"/>
      <c r="J18" s="2"/>
      <c r="K18" s="2"/>
      <c r="L18" s="2"/>
    </row>
    <row r="19" spans="1:15" ht="43.2" x14ac:dyDescent="0.3">
      <c r="A19" s="2" t="s">
        <v>123</v>
      </c>
      <c r="B19" s="2" t="s">
        <v>114</v>
      </c>
      <c r="C19" s="2" t="s">
        <v>124</v>
      </c>
      <c r="D19" s="2" t="s">
        <v>125</v>
      </c>
      <c r="E19" s="2" t="s">
        <v>126</v>
      </c>
      <c r="F19" s="2" t="s">
        <v>127</v>
      </c>
      <c r="G19" s="2" t="s">
        <v>141</v>
      </c>
      <c r="H19" s="2" t="s">
        <v>151</v>
      </c>
      <c r="I19" s="2"/>
      <c r="J19" s="2"/>
      <c r="K19" s="2"/>
      <c r="L19" s="2"/>
    </row>
    <row r="20" spans="1:15" ht="43.2" x14ac:dyDescent="0.3">
      <c r="A20" s="2" t="s">
        <v>128</v>
      </c>
      <c r="B20" s="2" t="s">
        <v>129</v>
      </c>
      <c r="C20" s="2" t="s">
        <v>130</v>
      </c>
      <c r="D20" s="2" t="s">
        <v>131</v>
      </c>
      <c r="E20" s="2" t="s">
        <v>132</v>
      </c>
      <c r="F20" s="2" t="s">
        <v>133</v>
      </c>
      <c r="G20" s="2" t="s">
        <v>141</v>
      </c>
      <c r="H20" s="2" t="s">
        <v>151</v>
      </c>
      <c r="I20" s="2"/>
      <c r="J20" s="2"/>
      <c r="K20" s="2"/>
      <c r="L20" s="2"/>
    </row>
    <row r="21" spans="1:15" ht="57.6" x14ac:dyDescent="0.3">
      <c r="A21" s="2" t="s">
        <v>134</v>
      </c>
      <c r="B21" s="2" t="s">
        <v>135</v>
      </c>
      <c r="C21" s="2" t="s">
        <v>130</v>
      </c>
      <c r="D21" s="2" t="s">
        <v>136</v>
      </c>
      <c r="E21" s="2" t="s">
        <v>137</v>
      </c>
      <c r="F21" s="2" t="s">
        <v>138</v>
      </c>
      <c r="G21" s="2" t="s">
        <v>141</v>
      </c>
      <c r="H21" s="2" t="s">
        <v>151</v>
      </c>
      <c r="I21" s="2"/>
      <c r="J21" s="2"/>
      <c r="K21" s="2"/>
      <c r="L21" s="2"/>
    </row>
    <row r="24" spans="1:15" x14ac:dyDescent="0.3">
      <c r="N24" s="6" t="s">
        <v>139</v>
      </c>
      <c r="O24" s="7"/>
    </row>
    <row r="25" spans="1:15" x14ac:dyDescent="0.3">
      <c r="N25" s="1" t="s">
        <v>140</v>
      </c>
      <c r="O25" s="2">
        <f>COUNTA(A2:A21)</f>
        <v>20</v>
      </c>
    </row>
    <row r="26" spans="1:15" x14ac:dyDescent="0.3">
      <c r="N26" s="1" t="s">
        <v>141</v>
      </c>
      <c r="O26" s="2">
        <f>COUNTIF(G2:G21,"OK")</f>
        <v>14</v>
      </c>
    </row>
    <row r="27" spans="1:15" x14ac:dyDescent="0.3">
      <c r="N27" s="1" t="s">
        <v>142</v>
      </c>
      <c r="O27" s="2">
        <f>COUNTIF(G2:G21,"KO")</f>
        <v>0</v>
      </c>
    </row>
    <row r="28" spans="1:15" x14ac:dyDescent="0.3">
      <c r="N28" s="1" t="s">
        <v>143</v>
      </c>
      <c r="O28" s="2">
        <f>COUNTIF(G2:G21,"Parziale")</f>
        <v>6</v>
      </c>
    </row>
    <row r="29" spans="1:15" x14ac:dyDescent="0.3">
      <c r="N29" s="1" t="s">
        <v>144</v>
      </c>
      <c r="O29" s="2">
        <f>COUNTIF(G2:G21,"N/A")</f>
        <v>0</v>
      </c>
    </row>
    <row r="30" spans="1:15" x14ac:dyDescent="0.3">
      <c r="N30" s="1" t="s">
        <v>145</v>
      </c>
      <c r="O30" s="2">
        <f>COUNTIF(H2:H21,"Chiaro")</f>
        <v>14</v>
      </c>
    </row>
    <row r="31" spans="1:15" x14ac:dyDescent="0.3">
      <c r="N31" s="1" t="s">
        <v>146</v>
      </c>
      <c r="O31" s="2">
        <f>COUNTIF(H2:H21,"Confuso")</f>
        <v>3</v>
      </c>
    </row>
    <row r="32" spans="1:15" x14ac:dyDescent="0.3">
      <c r="N32" s="1" t="s">
        <v>147</v>
      </c>
      <c r="O32" s="2" t="str">
        <f>IF(O27&gt;0,"No-Go","Go")</f>
        <v>Go</v>
      </c>
    </row>
    <row r="33" spans="14:15" ht="40.049999999999997" customHeight="1" x14ac:dyDescent="0.3">
      <c r="N33" s="1" t="s">
        <v>148</v>
      </c>
      <c r="O33" s="2" t="s">
        <v>149</v>
      </c>
    </row>
  </sheetData>
  <mergeCells count="1">
    <mergeCell ref="N24:O24"/>
  </mergeCells>
  <conditionalFormatting sqref="G2:G21">
    <cfRule type="expression" dxfId="3" priority="1">
      <formula>G2="OK"</formula>
    </cfRule>
    <cfRule type="expression" dxfId="2" priority="2">
      <formula>G2="KO"</formula>
    </cfRule>
    <cfRule type="expression" dxfId="1" priority="3">
      <formula>G2="Parziale"</formula>
    </cfRule>
  </conditionalFormatting>
  <conditionalFormatting sqref="H2:H21">
    <cfRule type="expression" dxfId="0" priority="4">
      <formula>H2="Confuso"</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xr:uid="{00000000-0002-0000-0100-000000000000}">
          <x14:formula1>
            <xm:f>Liste!$A$2:$A$5</xm:f>
          </x14:formula1>
          <xm:sqref>G2:G21</xm:sqref>
        </x14:dataValidation>
        <x14:dataValidation type="list" xr:uid="{00000000-0002-0000-0100-000001000000}">
          <x14:formula1>
            <xm:f>Liste!$B$2:$B$4</xm:f>
          </x14:formula1>
          <xm:sqref>H2:H21</xm:sqref>
        </x14:dataValidation>
        <x14:dataValidation type="list" xr:uid="{00000000-0002-0000-0100-000002000000}">
          <x14:formula1>
            <xm:f>Liste!$C$2:$C$4</xm:f>
          </x14:formula1>
          <xm:sqref>K2:K21</xm:sqref>
        </x14:dataValidation>
        <x14:dataValidation type="list" xr:uid="{00000000-0002-0000-0100-000003000000}">
          <x14:formula1>
            <xm:f>Liste!$D$2:$D$4</xm:f>
          </x14:formula1>
          <xm:sqref>L2:L21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heetViews>
  <sheetFormatPr defaultRowHeight="14.4" x14ac:dyDescent="0.3"/>
  <cols>
    <col min="1" max="4" width="18" customWidth="1"/>
  </cols>
  <sheetData>
    <row r="1" spans="1:4" x14ac:dyDescent="0.3">
      <c r="A1" t="s">
        <v>25</v>
      </c>
      <c r="B1" t="s">
        <v>26</v>
      </c>
      <c r="C1" t="s">
        <v>150</v>
      </c>
      <c r="D1" t="s">
        <v>30</v>
      </c>
    </row>
    <row r="2" spans="1:4" x14ac:dyDescent="0.3">
      <c r="A2" t="s">
        <v>141</v>
      </c>
      <c r="B2" t="s">
        <v>151</v>
      </c>
      <c r="C2" t="s">
        <v>152</v>
      </c>
      <c r="D2" t="s">
        <v>153</v>
      </c>
    </row>
    <row r="3" spans="1:4" x14ac:dyDescent="0.3">
      <c r="A3" t="s">
        <v>142</v>
      </c>
      <c r="B3" t="s">
        <v>154</v>
      </c>
      <c r="C3" t="s">
        <v>155</v>
      </c>
      <c r="D3" t="s">
        <v>156</v>
      </c>
    </row>
    <row r="4" spans="1:4" x14ac:dyDescent="0.3">
      <c r="A4" t="s">
        <v>143</v>
      </c>
      <c r="B4" t="s">
        <v>157</v>
      </c>
      <c r="C4" t="s">
        <v>158</v>
      </c>
      <c r="D4" t="s">
        <v>159</v>
      </c>
    </row>
    <row r="5" spans="1:4" x14ac:dyDescent="0.3">
      <c r="A5"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Istruzioni</vt:lpstr>
      <vt:lpstr>Sessione_2_PO</vt:lpstr>
      <vt:lpstr>Liste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Simone Blasi</cp:lastModifiedBy>
  <dcterms:modified xsi:type="dcterms:W3CDTF">2026-04-20T14:14:45Z</dcterms:modified>
</cp:coreProperties>
</file>